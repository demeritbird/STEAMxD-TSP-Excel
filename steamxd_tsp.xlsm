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ji\OneDrive\Desktop\TravellingSalesmanProblemExcel\"/>
    </mc:Choice>
  </mc:AlternateContent>
  <xr:revisionPtr revIDLastSave="0" documentId="13_ncr:1_{F6241CCD-E7D8-41BC-8EE6-EFDB9E1A1BBB}" xr6:coauthVersionLast="47" xr6:coauthVersionMax="47" xr10:uidLastSave="{00000000-0000-0000-0000-000000000000}"/>
  <bookViews>
    <workbookView xWindow="1100" yWindow="0" windowWidth="19200" windowHeight="15370" xr2:uid="{9A6DD24F-7BCE-4A3E-96D1-B512EB653D52}"/>
  </bookViews>
  <sheets>
    <sheet name="Main" sheetId="1" r:id="rId1"/>
    <sheet name="Data" sheetId="2" r:id="rId2"/>
  </sheets>
  <functionGroups builtInGroupCount="19"/>
  <definedNames>
    <definedName name="solver_adj" localSheetId="1" hidden="1">Data!$B$18:$B$21</definedName>
    <definedName name="solver_adj" localSheetId="0" hidden="1">Main!$B$18:$B$21</definedName>
    <definedName name="solver_cvg" localSheetId="1" hidden="1">0.0001</definedName>
    <definedName name="solver_drv" localSheetId="1" hidden="1">2</definedName>
    <definedName name="solver_eng" localSheetId="1" hidden="1">3</definedName>
    <definedName name="solver_eng" localSheetId="0" hidden="1">3</definedName>
    <definedName name="solver_est" localSheetId="1" hidden="1">1</definedName>
    <definedName name="solver_itr" localSheetId="1" hidden="1">2147483647</definedName>
    <definedName name="solver_lhs1" localSheetId="1" hidden="1">Data!$B$18:$B$21</definedName>
    <definedName name="solver_lhs1" localSheetId="0" hidden="1">Main!$B$18:$B$21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1</definedName>
    <definedName name="solver_num" localSheetId="0" hidden="1">1</definedName>
    <definedName name="solver_nwt" localSheetId="1" hidden="1">1</definedName>
    <definedName name="solver_opt" localSheetId="1" hidden="1">Data!$D$24</definedName>
    <definedName name="solver_opt" localSheetId="0" hidden="1">Main!$D$24</definedName>
    <definedName name="solver_pre" localSheetId="1" hidden="1">0.000001</definedName>
    <definedName name="solver_rbv" localSheetId="1" hidden="1">2</definedName>
    <definedName name="solver_rel1" localSheetId="1" hidden="1">6</definedName>
    <definedName name="solver_rel1" localSheetId="0" hidden="1">6</definedName>
    <definedName name="solver_rhs1" localSheetId="1" hidden="1">"AllDifferent"</definedName>
    <definedName name="solver_rhs1" localSheetId="0" hidden="1">"AllDifferent"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L3" i="1" s="1"/>
  <c r="K6" i="1" s="1"/>
  <c r="E8" i="1" s="1"/>
  <c r="C19" i="2"/>
  <c r="F19" i="2" s="1"/>
  <c r="C20" i="2"/>
  <c r="F20" i="2" s="1"/>
  <c r="C21" i="2"/>
  <c r="F21" i="2" s="1"/>
  <c r="C18" i="2"/>
  <c r="A18" i="2" s="1"/>
  <c r="F15" i="1" s="1"/>
  <c r="A17" i="2"/>
  <c r="E15" i="1" s="1"/>
  <c r="E22" i="2"/>
  <c r="F22" i="2"/>
  <c r="F17" i="2"/>
  <c r="H7" i="2"/>
  <c r="H4" i="2"/>
  <c r="H5" i="2"/>
  <c r="H6" i="2"/>
  <c r="H3" i="2"/>
  <c r="G4" i="2"/>
  <c r="G5" i="2"/>
  <c r="G6" i="2"/>
  <c r="G7" i="2"/>
  <c r="F7" i="2"/>
  <c r="E7" i="2"/>
  <c r="D7" i="2"/>
  <c r="C22" i="2"/>
  <c r="E17" i="2"/>
  <c r="F6" i="2"/>
  <c r="E6" i="2"/>
  <c r="D6" i="2"/>
  <c r="F5" i="2"/>
  <c r="E5" i="2"/>
  <c r="D5" i="2"/>
  <c r="F4" i="2"/>
  <c r="E4" i="2"/>
  <c r="D4" i="2"/>
  <c r="G3" i="2"/>
  <c r="F3" i="2"/>
  <c r="E3" i="2"/>
  <c r="D3" i="2"/>
  <c r="D19" i="2" l="1" a="1"/>
  <c r="D19" i="2" s="1"/>
  <c r="A21" i="2"/>
  <c r="I15" i="1" s="1"/>
  <c r="F18" i="2"/>
  <c r="E21" i="2"/>
  <c r="E18" i="2"/>
  <c r="D20" i="2" a="1"/>
  <c r="D20" i="2" s="1"/>
  <c r="E20" i="2"/>
  <c r="D17" i="2"/>
  <c r="D21" i="2" a="1"/>
  <c r="D21" i="2" s="1"/>
  <c r="E19" i="2"/>
  <c r="A19" i="2"/>
  <c r="G15" i="1" s="1"/>
  <c r="A20" i="2"/>
  <c r="H15" i="1" s="1"/>
  <c r="D18" i="2" a="1"/>
  <c r="D18" i="2" s="1"/>
  <c r="D2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<sst xmlns="http://schemas.openxmlformats.org/spreadsheetml/2006/main" count="44" uniqueCount="35">
  <si>
    <t>A</t>
  </si>
  <si>
    <t>B</t>
  </si>
  <si>
    <t>C</t>
  </si>
  <si>
    <t>D</t>
  </si>
  <si>
    <t>E</t>
  </si>
  <si>
    <t>F</t>
  </si>
  <si>
    <t>G</t>
  </si>
  <si>
    <t>Initial Drone Facing Angle:</t>
  </si>
  <si>
    <t>Coordinate/Location</t>
  </si>
  <si>
    <t>Task</t>
  </si>
  <si>
    <t>WP1</t>
  </si>
  <si>
    <t>WP2</t>
  </si>
  <si>
    <t>WP3</t>
  </si>
  <si>
    <t>WP4</t>
  </si>
  <si>
    <t>WP5</t>
  </si>
  <si>
    <t>Distance</t>
  </si>
  <si>
    <t>START</t>
  </si>
  <si>
    <t>B11</t>
  </si>
  <si>
    <t>E10</t>
  </si>
  <si>
    <t>SCAN</t>
  </si>
  <si>
    <t>DROP</t>
  </si>
  <si>
    <t>L&amp;TO</t>
  </si>
  <si>
    <t>LED3</t>
  </si>
  <si>
    <t xml:space="preserve"> </t>
  </si>
  <si>
    <t>START-1</t>
  </si>
  <si>
    <t>Vertex</t>
  </si>
  <si>
    <t>x</t>
  </si>
  <si>
    <t>y</t>
  </si>
  <si>
    <t>distance</t>
  </si>
  <si>
    <t>total distance</t>
  </si>
  <si>
    <t>initial</t>
  </si>
  <si>
    <t>start</t>
  </si>
  <si>
    <t>B2</t>
  </si>
  <si>
    <t>C6</t>
  </si>
  <si>
    <t>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</si>
</sst>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9D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0" xfId="0" applyFill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9DD"/>
      <color rgb="FFF7FFC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CBA69-A8D2-45DF-A4D1-CCC5CCB8B8DC}">
  <sheetPr codeName="Main"/>
  <dimension ref="A1:Q24"/>
  <sheetViews>
    <sheetView tabSelected="1" workbookViewId="0">
      <selection activeCell="I11" sqref="I11"/>
    </sheetView>
  </sheetViews>
  <sheetFormatPr defaultRowHeight="14.5" x14ac:dyDescent="0.35"/>
  <cols>
    <col min="2" max="13" width="9.08984375" customWidth="1"/>
  </cols>
  <sheetData>
    <row r="1" spans="1:17" ht="15" thickBot="1" x14ac:dyDescent="0.4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</row>
    <row r="2" spans="1:17" ht="50" customHeight="1" x14ac:dyDescent="0.35">
      <c r="A2" s="1" t="s">
        <v>0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5"/>
    </row>
    <row r="3" spans="1:17" ht="50" customHeight="1" x14ac:dyDescent="0.35">
      <c r="A3" s="1" t="s">
        <v>1</v>
      </c>
      <c r="B3" s="6"/>
      <c r="C3" s="7" t="s">
        <v>24</v>
      </c>
      <c r="D3" s="7"/>
      <c r="E3" s="7"/>
      <c r="F3" s="7"/>
      <c r="G3" s="7"/>
      <c r="H3" s="7"/>
      <c r="I3" s="7"/>
      <c r="J3" s="7"/>
      <c r="K3" s="7"/>
      <c r="L3" s="7" t="str">
        <f>_xlfn.CONCAT("DROP", "-",RIGHT($G$4, LEN($G$4) - FIND("-", $G$4) - 1), 3)</f>
        <v>DROP-3</v>
      </c>
      <c r="M3" s="8"/>
    </row>
    <row r="4" spans="1:17" ht="50" customHeight="1" x14ac:dyDescent="0.35">
      <c r="A4" s="1" t="s">
        <v>2</v>
      </c>
      <c r="B4" s="6"/>
      <c r="C4" s="7"/>
      <c r="D4" s="7"/>
      <c r="E4" s="7"/>
      <c r="F4" s="7"/>
      <c r="G4" s="7" t="str">
        <f>_xlfn.CONCAT("SCAN", "-",RIGHT($C$3, LEN($C$3) - FIND("-", $C$3) - 1), 2)</f>
        <v>SCAN-2</v>
      </c>
      <c r="H4" s="7"/>
      <c r="I4" s="7"/>
      <c r="J4" s="7"/>
      <c r="K4" s="7"/>
      <c r="L4" s="7"/>
      <c r="M4" s="8"/>
    </row>
    <row r="5" spans="1:17" ht="50" customHeight="1" x14ac:dyDescent="0.35">
      <c r="A5" s="1" t="s">
        <v>3</v>
      </c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8"/>
    </row>
    <row r="6" spans="1:17" ht="50" customHeight="1" x14ac:dyDescent="0.35">
      <c r="A6" s="1" t="s">
        <v>4</v>
      </c>
      <c r="B6" s="6"/>
      <c r="C6" s="7"/>
      <c r="D6" s="7"/>
      <c r="E6" s="7"/>
      <c r="F6" s="7"/>
      <c r="G6" s="7"/>
      <c r="H6" s="7"/>
      <c r="I6" s="7"/>
      <c r="J6" s="7"/>
      <c r="K6" s="7" t="str">
        <f>_xlfn.CONCAT("L&amp;TO", "-",RIGHT($L$3, LEN($L$3) - FIND("-", $L$3) - 1), 4)</f>
        <v>L&amp;TO-4</v>
      </c>
      <c r="L6" s="7"/>
      <c r="M6" s="8"/>
    </row>
    <row r="7" spans="1:17" ht="50" customHeight="1" x14ac:dyDescent="0.35">
      <c r="A7" s="1" t="s">
        <v>5</v>
      </c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1:17" ht="50" customHeight="1" thickBot="1" x14ac:dyDescent="0.4">
      <c r="A8" s="1" t="s">
        <v>6</v>
      </c>
      <c r="B8" s="9"/>
      <c r="C8" s="10"/>
      <c r="D8" s="10"/>
      <c r="E8" s="10" t="str">
        <f>_xlfn.CONCAT("LED3", "-",RIGHT($K$6, LEN($K$6) - FIND("-", $K$6) - 1), 5)</f>
        <v>LED3-5</v>
      </c>
      <c r="F8" s="10"/>
      <c r="G8" s="10"/>
      <c r="H8" s="10"/>
      <c r="I8" s="10"/>
      <c r="J8" s="10"/>
      <c r="K8" s="10"/>
      <c r="L8" s="10"/>
      <c r="M8" s="11"/>
      <c r="N8" t="s">
        <v>23</v>
      </c>
      <c r="Q8" t="s">
        <v>23</v>
      </c>
    </row>
    <row r="11" spans="1:17" x14ac:dyDescent="0.35">
      <c r="B11" s="13" t="s">
        <v>7</v>
      </c>
      <c r="C11" s="13"/>
      <c r="D11" s="13"/>
      <c r="E11">
        <v>0</v>
      </c>
    </row>
    <row r="12" spans="1:17" x14ac:dyDescent="0.35">
      <c r="N12" s="2" t="s">
        <v>30</v>
      </c>
    </row>
    <row r="13" spans="1:17" x14ac:dyDescent="0.35">
      <c r="N13" s="2" t="s">
        <v>31</v>
      </c>
      <c r="O13" t="s">
        <v>32</v>
      </c>
    </row>
    <row r="14" spans="1:17" x14ac:dyDescent="0.35">
      <c r="E14" s="2" t="s">
        <v>10</v>
      </c>
      <c r="F14" s="2" t="s">
        <v>11</v>
      </c>
      <c r="G14" s="2" t="s">
        <v>12</v>
      </c>
      <c r="H14" s="2" t="s">
        <v>13</v>
      </c>
      <c r="I14" s="2" t="s">
        <v>14</v>
      </c>
      <c r="J14" s="2" t="s">
        <v>15</v>
      </c>
      <c r="N14" s="2">
        <v>2</v>
      </c>
      <c r="O14" t="s">
        <v>18</v>
      </c>
    </row>
    <row r="15" spans="1:17" x14ac:dyDescent="0.35">
      <c r="B15" s="13" t="s">
        <v>8</v>
      </c>
      <c r="C15" s="13"/>
      <c r="D15" s="13"/>
      <c r="E15" t="str">
        <f>Data!A17</f>
        <v>B2</v>
      </c>
      <c r="F15" t="str">
        <f>Data!A18</f>
        <v>C6</v>
      </c>
      <c r="G15" t="str">
        <f>Data!A19</f>
        <v>B11</v>
      </c>
      <c r="H15" t="str">
        <f>Data!A20</f>
        <v>E10</v>
      </c>
      <c r="I15" t="str">
        <f>Data!A21</f>
        <v>G4</v>
      </c>
      <c r="J15" s="14"/>
      <c r="N15" s="2">
        <v>3</v>
      </c>
      <c r="O15" t="s">
        <v>17</v>
      </c>
    </row>
    <row r="16" spans="1:17" x14ac:dyDescent="0.35">
      <c r="B16" s="13" t="s">
        <v>9</v>
      </c>
      <c r="C16" s="13"/>
      <c r="D16" s="13"/>
      <c r="E16" s="2" t="s">
        <v>16</v>
      </c>
      <c r="F16" t="s">
        <v>19</v>
      </c>
      <c r="G16" t="s">
        <v>20</v>
      </c>
      <c r="H16" t="s">
        <v>21</v>
      </c>
      <c r="I16" t="s">
        <v>22</v>
      </c>
      <c r="J16" s="14"/>
      <c r="N16" s="2">
        <v>4</v>
      </c>
      <c r="O16" t="s">
        <v>33</v>
      </c>
    </row>
    <row r="17" spans="2:15" x14ac:dyDescent="0.35">
      <c r="N17" s="2">
        <v>5</v>
      </c>
      <c r="O17" t="s">
        <v>34</v>
      </c>
    </row>
    <row r="18" spans="2:15" x14ac:dyDescent="0.35">
      <c r="B18">
        <v>1</v>
      </c>
    </row>
    <row r="19" spans="2:15" x14ac:dyDescent="0.35">
      <c r="B19">
        <v>4</v>
      </c>
    </row>
    <row r="20" spans="2:15" x14ac:dyDescent="0.35">
      <c r="B20">
        <v>2</v>
      </c>
    </row>
    <row r="21" spans="2:15" x14ac:dyDescent="0.35">
      <c r="B21">
        <v>3</v>
      </c>
    </row>
    <row r="24" spans="2:15" x14ac:dyDescent="0.35">
      <c r="D24">
        <v>0</v>
      </c>
    </row>
  </sheetData>
  <mergeCells count="4">
    <mergeCell ref="B11:D11"/>
    <mergeCell ref="B15:D15"/>
    <mergeCell ref="B16:D16"/>
    <mergeCell ref="J15:J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139DA-B8D0-430B-8F11-086911FB589F}">
  <sheetPr codeName="Data"/>
  <dimension ref="A2:H24"/>
  <sheetViews>
    <sheetView topLeftCell="A2" workbookViewId="0">
      <selection activeCell="C32" sqref="C32"/>
    </sheetView>
  </sheetViews>
  <sheetFormatPr defaultRowHeight="14.5" x14ac:dyDescent="0.35"/>
  <sheetData>
    <row r="2" spans="3:8" x14ac:dyDescent="0.35">
      <c r="D2" s="12">
        <v>1</v>
      </c>
      <c r="E2" s="12">
        <v>2</v>
      </c>
      <c r="F2" s="12">
        <v>3</v>
      </c>
      <c r="G2" s="12">
        <v>4</v>
      </c>
      <c r="H2" s="12">
        <v>5</v>
      </c>
    </row>
    <row r="3" spans="3:8" x14ac:dyDescent="0.35">
      <c r="C3" s="12">
        <v>1</v>
      </c>
      <c r="D3">
        <f>SQRT(($D$10-D10)^2+($E$10-E10)^2)</f>
        <v>0</v>
      </c>
      <c r="E3">
        <f>SQRT(($D$11-D10)^2+($E$11-E10)^2)</f>
        <v>8.5440037453175304</v>
      </c>
      <c r="F3">
        <f>SQRT(($D$12-D10)^2+($E$12-E10)^2)</f>
        <v>9</v>
      </c>
      <c r="G3">
        <f>SQRT(($D$13-D10)^2+($E$13-E10)^2)</f>
        <v>4.1231056256176606</v>
      </c>
      <c r="H3">
        <f>SQRT(($D$14-D10)^2+($E$14-E10)^2)</f>
        <v>5.3851648071345037</v>
      </c>
    </row>
    <row r="4" spans="3:8" x14ac:dyDescent="0.35">
      <c r="C4" s="12">
        <v>2</v>
      </c>
      <c r="D4">
        <f>SQRT(($D$10-D11)^2+($E$10-E11)^2)</f>
        <v>8.5440037453175304</v>
      </c>
      <c r="E4">
        <f t="shared" ref="E4:E7" si="0">SQRT(($D$11-D11)^2+($E$11-E11)^2)</f>
        <v>0</v>
      </c>
      <c r="F4">
        <f t="shared" ref="F4:F7" si="1">SQRT(($D$12-D11)^2+($E$12-E11)^2)</f>
        <v>3.1622776601683795</v>
      </c>
      <c r="G4">
        <f t="shared" ref="G4:G7" si="2">SQRT(($D$13-D11)^2+($E$13-E11)^2)</f>
        <v>4.4721359549995796</v>
      </c>
      <c r="H4">
        <f>SQRT(($D$14-D11)^2+($E$14-E11)^2)</f>
        <v>6.324555320336759</v>
      </c>
    </row>
    <row r="5" spans="3:8" x14ac:dyDescent="0.35">
      <c r="C5" s="12">
        <v>3</v>
      </c>
      <c r="D5">
        <f>SQRT(($D$10-D12)^2+($E$10-E12)^2)</f>
        <v>9</v>
      </c>
      <c r="E5">
        <f t="shared" si="0"/>
        <v>3.1622776601683795</v>
      </c>
      <c r="F5">
        <f t="shared" si="1"/>
        <v>0</v>
      </c>
      <c r="G5">
        <f t="shared" si="2"/>
        <v>5.0990195135927845</v>
      </c>
      <c r="H5">
        <f t="shared" ref="H5:H7" si="3">SQRT(($D$14-D12)^2+($E$14-E12)^2)</f>
        <v>8.6023252670426267</v>
      </c>
    </row>
    <row r="6" spans="3:8" x14ac:dyDescent="0.35">
      <c r="C6" s="12">
        <v>4</v>
      </c>
      <c r="D6">
        <f>SQRT(($D$10-D13)^2+($E$10-E13)^2)</f>
        <v>4.1231056256176606</v>
      </c>
      <c r="E6">
        <f t="shared" si="0"/>
        <v>4.4721359549995796</v>
      </c>
      <c r="F6">
        <f t="shared" si="1"/>
        <v>5.0990195135927845</v>
      </c>
      <c r="G6">
        <f t="shared" si="2"/>
        <v>0</v>
      </c>
      <c r="H6">
        <f t="shared" si="3"/>
        <v>4.4721359549995796</v>
      </c>
    </row>
    <row r="7" spans="3:8" x14ac:dyDescent="0.35">
      <c r="C7" s="12">
        <v>5</v>
      </c>
      <c r="D7">
        <f>SQRT(($D$10-D14)^2+($E$10-E14)^2)</f>
        <v>5.3851648071345037</v>
      </c>
      <c r="E7">
        <f t="shared" si="0"/>
        <v>6.324555320336759</v>
      </c>
      <c r="F7">
        <f t="shared" si="1"/>
        <v>8.6023252670426267</v>
      </c>
      <c r="G7">
        <f t="shared" si="2"/>
        <v>4.4721359549995796</v>
      </c>
      <c r="H7">
        <f t="shared" si="3"/>
        <v>0</v>
      </c>
    </row>
    <row r="9" spans="3:8" x14ac:dyDescent="0.35">
      <c r="C9" t="s">
        <v>25</v>
      </c>
      <c r="D9" t="s">
        <v>26</v>
      </c>
      <c r="E9" t="s">
        <v>27</v>
      </c>
    </row>
    <row r="10" spans="3:8" x14ac:dyDescent="0.35">
      <c r="C10">
        <v>1</v>
      </c>
      <c r="D10">
        <v>1</v>
      </c>
      <c r="E10">
        <v>1</v>
      </c>
      <c r="G10" t="s">
        <v>32</v>
      </c>
    </row>
    <row r="11" spans="3:8" x14ac:dyDescent="0.35">
      <c r="C11">
        <v>2</v>
      </c>
      <c r="D11">
        <v>4</v>
      </c>
      <c r="E11">
        <v>9</v>
      </c>
      <c r="G11" t="s">
        <v>18</v>
      </c>
    </row>
    <row r="12" spans="3:8" x14ac:dyDescent="0.35">
      <c r="C12">
        <v>3</v>
      </c>
      <c r="D12">
        <v>1</v>
      </c>
      <c r="E12">
        <v>10</v>
      </c>
      <c r="G12" t="s">
        <v>17</v>
      </c>
    </row>
    <row r="13" spans="3:8" x14ac:dyDescent="0.35">
      <c r="C13">
        <v>4</v>
      </c>
      <c r="D13">
        <v>2</v>
      </c>
      <c r="E13">
        <v>5</v>
      </c>
      <c r="G13" t="s">
        <v>33</v>
      </c>
    </row>
    <row r="14" spans="3:8" x14ac:dyDescent="0.35">
      <c r="C14">
        <v>5</v>
      </c>
      <c r="D14">
        <v>6</v>
      </c>
      <c r="E14">
        <v>3</v>
      </c>
      <c r="G14" t="s">
        <v>34</v>
      </c>
    </row>
    <row r="16" spans="3:8" x14ac:dyDescent="0.35">
      <c r="C16" t="s">
        <v>25</v>
      </c>
      <c r="D16" t="s">
        <v>28</v>
      </c>
      <c r="E16" t="s">
        <v>26</v>
      </c>
      <c r="F16" t="s">
        <v>27</v>
      </c>
    </row>
    <row r="17" spans="1:6" x14ac:dyDescent="0.35">
      <c r="A17" t="str">
        <f>VLOOKUP(C17,$C$10:$G$14,5)</f>
        <v>B2</v>
      </c>
      <c r="C17">
        <v>1</v>
      </c>
      <c r="D17">
        <f>INDEX($D$3:$H$7,C18,C17)</f>
        <v>4.1231056256176606</v>
      </c>
      <c r="E17">
        <f>VLOOKUP(C17,$C$10:$E$13,2)</f>
        <v>1</v>
      </c>
      <c r="F17">
        <f>VLOOKUP(C17,$C$10:$E$14,3)</f>
        <v>1</v>
      </c>
    </row>
    <row r="18" spans="1:6" x14ac:dyDescent="0.35">
      <c r="A18" t="str">
        <f t="shared" ref="A18:A21" si="4">VLOOKUP(C18,$C$10:$G$14,5)</f>
        <v>C6</v>
      </c>
      <c r="B18">
        <v>3</v>
      </c>
      <c r="C18">
        <f>B18+1</f>
        <v>4</v>
      </c>
      <c r="D18" cm="1">
        <f t="array" ref="D18">INDEX($D$3:$H$7,C19,C18)</f>
        <v>5.0990195135927845</v>
      </c>
      <c r="E18">
        <f t="shared" ref="E18:E22" si="5">VLOOKUP(C18,$C$10:$E$13,2)</f>
        <v>2</v>
      </c>
      <c r="F18">
        <f t="shared" ref="F18:F22" si="6">VLOOKUP(C18,$C$10:$E$14,3)</f>
        <v>5</v>
      </c>
    </row>
    <row r="19" spans="1:6" x14ac:dyDescent="0.35">
      <c r="A19" t="str">
        <f t="shared" si="4"/>
        <v>B11</v>
      </c>
      <c r="B19">
        <v>2</v>
      </c>
      <c r="C19">
        <f t="shared" ref="C19:C21" si="7">B19+1</f>
        <v>3</v>
      </c>
      <c r="D19" cm="1">
        <f t="array" ref="D19">INDEX($D$3:$H$7,C20,C19)</f>
        <v>3.1622776601683795</v>
      </c>
      <c r="E19">
        <f t="shared" si="5"/>
        <v>1</v>
      </c>
      <c r="F19">
        <f t="shared" si="6"/>
        <v>10</v>
      </c>
    </row>
    <row r="20" spans="1:6" x14ac:dyDescent="0.35">
      <c r="A20" t="str">
        <f t="shared" si="4"/>
        <v>E10</v>
      </c>
      <c r="B20">
        <v>1</v>
      </c>
      <c r="C20">
        <f t="shared" si="7"/>
        <v>2</v>
      </c>
      <c r="D20" cm="1">
        <f t="array" ref="D20">INDEX($D$3:$H$7,C21,C20)</f>
        <v>6.324555320336759</v>
      </c>
      <c r="E20">
        <f t="shared" si="5"/>
        <v>4</v>
      </c>
      <c r="F20">
        <f t="shared" si="6"/>
        <v>9</v>
      </c>
    </row>
    <row r="21" spans="1:6" x14ac:dyDescent="0.35">
      <c r="A21" t="str">
        <f t="shared" si="4"/>
        <v>G4</v>
      </c>
      <c r="B21">
        <v>4</v>
      </c>
      <c r="C21">
        <f t="shared" si="7"/>
        <v>5</v>
      </c>
      <c r="D21" cm="1">
        <f t="array" ref="D21">INDEX($D$3:$H$7,C22,C21)</f>
        <v>5.3851648071345037</v>
      </c>
      <c r="E21">
        <f t="shared" si="5"/>
        <v>2</v>
      </c>
      <c r="F21">
        <f t="shared" si="6"/>
        <v>3</v>
      </c>
    </row>
    <row r="22" spans="1:6" x14ac:dyDescent="0.35">
      <c r="C22">
        <f>C17</f>
        <v>1</v>
      </c>
      <c r="E22">
        <f t="shared" si="5"/>
        <v>1</v>
      </c>
      <c r="F22">
        <f t="shared" si="6"/>
        <v>1</v>
      </c>
    </row>
    <row r="24" spans="1:6" x14ac:dyDescent="0.35">
      <c r="C24" t="s">
        <v>29</v>
      </c>
      <c r="D24">
        <f>SUM(D17:D22)</f>
        <v>24.094122926850087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2024-01-17T13:14:07Z</dcterms:created>
  <dcterms:modified xsi:type="dcterms:W3CDTF">2024-01-17T17:56:17Z</dcterms:modified>
</cp:coreProperties>
</file>